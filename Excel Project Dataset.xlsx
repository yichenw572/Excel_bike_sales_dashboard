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wangyichen/Desktop/💼/ALEX_The analyst_Bootcamp/excel /"/>
    </mc:Choice>
  </mc:AlternateContent>
  <xr:revisionPtr revIDLastSave="0" documentId="13_ncr:1_{2BF9B48E-C172-6840-87B3-799FD34CD300}" xr6:coauthVersionLast="47" xr6:coauthVersionMax="47" xr10:uidLastSave="{00000000-0000-0000-0000-000000000000}"/>
  <bookViews>
    <workbookView xWindow="0" yWindow="740" windowWidth="29040" windowHeight="168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 i="4" l="1"/>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3" i="4"/>
  <c r="M4" i="4"/>
  <c r="M5" i="4"/>
  <c r="M6" i="4"/>
  <c r="M7" i="4"/>
  <c r="M8" i="4"/>
  <c r="M9"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<sst xmlns="http://schemas.openxmlformats.org/spreadsheetml/2006/main" count="16267" uniqueCount="51">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</sst>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70" formatCode="[$$-45C]#,##0"/>
    <numFmt numFmtId="177"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70" fontId="0" fillId="0" borderId="0" xfId="0" applyNumberFormat="1"/>
    <xf numFmtId="0" fontId="0" fillId="0" borderId="0" xfId="0" applyNumberFormat="1"/>
    <xf numFmtId="0" fontId="0" fillId="0" borderId="0" xfId="0" pivotButton="1"/>
    <xf numFmtId="0" fontId="0" fillId="0" borderId="0" xfId="0" applyAlignment="1">
      <alignment horizontal="left"/>
    </xf>
    <xf numFmtId="177"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77" formatCode="_(* #,##0_);_(* \(#,##0\);_(* &quot;-&quot;??_);_(@_)"/>
    </dxf>
    <dxf>
      <numFmt numFmtId="177" formatCode="_(* #,##0_);_(* \(#,##0\);_(* &quot;-&quot;??_);_(@_)"/>
    </dxf>
    <dxf>
      <numFmt numFmtId="177" formatCode="_(* #,##0_);_(* \(#,##0\);_(* &quot;-&quot;??_);_(@_)"/>
    </dxf>
    <dxf>
      <numFmt numFmtId="177" formatCode="_(* #,##0_);_(* \(#,##0\);_(* &quot;-&quot;??_);_(@_)"/>
    </dxf>
    <dxf>
      <numFmt numFmtId="177" formatCode="_(* #,##0_);_(* \(#,##0\);_(* &quot;-&quot;??_);_(@_)"/>
    </dxf>
    <dxf>
      <numFmt numFmtId="177" formatCode="_(* #,##0_);_(* \(#,##0\);_(* &quot;-&quot;??_);_(@_)"/>
    </dxf>
    <dxf>
      <numFmt numFmtId="177" formatCode="_(* #,##0_);_(* \(#,##0\);_(* &quot;-&quot;??_);_(@_)"/>
    </dxf>
    <dxf>
      <numFmt numFmtId="177" formatCode="_(* #,##0_);_(* \(#,##0\);_(* &quot;-&quot;??_);_(@_)"/>
    </dxf>
    <dxf>
      <numFmt numFmtId="177" formatCode="_(* #,##0_);_(* \(#,##0\);_(* &quot;-&quot;??_);_(@_)"/>
    </dxf>
    <dxf>
      <numFmt numFmtId="177" formatCode="_(* #,##0_);_(* \(#,##0\);_(* &quot;-&quot;??_);_(@_)"/>
    </dxf>
    <dxf>
      <numFmt numFmtId="177" formatCode="_(* #,##0_);_(* \(#,##0\);_(* &quot;-&quot;??_);_(@_)"/>
    </dxf>
    <dxf>
      <numFmt numFmtId="177" formatCode="_(* #,##0_);_(* \(#,##0\);_(* &quot;-&quot;??_);_(@_)"/>
    </dxf>
    <dxf>
      <numFmt numFmtId="17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580" baseline="0"/>
              <a:t>Avg Income Per Purchase</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O"/>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46981627296588"/>
          <c:y val="0.12245144935714346"/>
          <c:w val="0.72861627208585511"/>
          <c:h val="0.74465148581895846"/>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6C09-FE49-80DE-32E0490276C2}"/>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6C09-FE49-80DE-32E0490276C2}"/>
            </c:ext>
          </c:extLst>
        </c:ser>
        <c:dLbls>
          <c:dLblPos val="outEnd"/>
          <c:showLegendKey val="0"/>
          <c:showVal val="1"/>
          <c:showCatName val="0"/>
          <c:showSerName val="0"/>
          <c:showPercent val="0"/>
          <c:showBubbleSize val="0"/>
        </c:dLbls>
        <c:gapWidth val="219"/>
        <c:overlap val="-27"/>
        <c:axId val="660899055"/>
        <c:axId val="245632687"/>
      </c:barChart>
      <c:catAx>
        <c:axId val="660899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245632687"/>
        <c:crosses val="autoZero"/>
        <c:auto val="1"/>
        <c:lblAlgn val="ctr"/>
        <c:lblOffset val="100"/>
        <c:noMultiLvlLbl val="0"/>
      </c:catAx>
      <c:valAx>
        <c:axId val="2456326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O"/>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6608990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MO"/>
          </a:p>
        </c:txPr>
      </c:dTable>
      <c:spPr>
        <a:noFill/>
        <a:ln>
          <a:noFill/>
        </a:ln>
        <a:effectLst/>
      </c:spPr>
    </c:plotArea>
    <c:legend>
      <c:legendPos val="r"/>
      <c:layout>
        <c:manualLayout>
          <c:xMode val="edge"/>
          <c:yMode val="edge"/>
          <c:x val="0.87450442554169772"/>
          <c:y val="0.45280394670228463"/>
          <c:w val="0.11454666934881315"/>
          <c:h val="0.225718840548488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O"/>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Table'!$B$14:$B$15</c:f>
              <c:strCache>
                <c:ptCount val="1"/>
                <c:pt idx="0">
                  <c:v>No</c:v>
                </c:pt>
              </c:strCache>
            </c:strRef>
          </c:tx>
          <c:spPr>
            <a:ln w="28575" cap="rnd">
              <a:solidFill>
                <a:schemeClr val="accent1"/>
              </a:solidFill>
              <a:round/>
            </a:ln>
            <a:effectLst/>
          </c:spPr>
          <c:marker>
            <c:symbol val="none"/>
          </c:marker>
          <c:cat>
            <c:strRef>
              <c:f>'Pivot Table'!$A$16:$A$21</c:f>
              <c:strCache>
                <c:ptCount val="5"/>
                <c:pt idx="0">
                  <c:v>0-1 Miles</c:v>
                </c:pt>
                <c:pt idx="1">
                  <c:v>1-2 Miles</c:v>
                </c:pt>
                <c:pt idx="2">
                  <c:v>2-5 Miles</c:v>
                </c:pt>
                <c:pt idx="3">
                  <c:v>5-10 Miles</c:v>
                </c:pt>
                <c:pt idx="4">
                  <c:v>More than 10 Miles</c:v>
                </c:pt>
              </c:strCache>
            </c:strRef>
          </c:cat>
          <c:val>
            <c:numRef>
              <c:f>'Pivot Table'!$B$16:$B$21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237-4145-ADE7-890696314A13}"/>
            </c:ext>
          </c:extLst>
        </c:ser>
        <c:ser>
          <c:idx val="1"/>
          <c:order val="1"/>
          <c:tx>
            <c:strRef>
              <c:f>'Pivot Table'!$C$14:$C$15</c:f>
              <c:strCache>
                <c:ptCount val="1"/>
                <c:pt idx="0">
                  <c:v>Yes</c:v>
                </c:pt>
              </c:strCache>
            </c:strRef>
          </c:tx>
          <c:spPr>
            <a:ln w="28575" cap="rnd">
              <a:solidFill>
                <a:schemeClr val="accent2"/>
              </a:solidFill>
              <a:round/>
            </a:ln>
            <a:effectLst/>
          </c:spPr>
          <c:marker>
            <c:symbol val="none"/>
          </c:marker>
          <c:cat>
            <c:strRef>
              <c:f>'Pivot Table'!$A$16:$A$21</c:f>
              <c:strCache>
                <c:ptCount val="5"/>
                <c:pt idx="0">
                  <c:v>0-1 Miles</c:v>
                </c:pt>
                <c:pt idx="1">
                  <c:v>1-2 Miles</c:v>
                </c:pt>
                <c:pt idx="2">
                  <c:v>2-5 Miles</c:v>
                </c:pt>
                <c:pt idx="3">
                  <c:v>5-10 Miles</c:v>
                </c:pt>
                <c:pt idx="4">
                  <c:v>More than 10 Miles</c:v>
                </c:pt>
              </c:strCache>
            </c:strRef>
          </c:cat>
          <c:val>
            <c:numRef>
              <c:f>'Pivot Table'!$C$16:$C$21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237-4145-ADE7-890696314A13}"/>
            </c:ext>
          </c:extLst>
        </c:ser>
        <c:dLbls>
          <c:showLegendKey val="0"/>
          <c:showVal val="0"/>
          <c:showCatName val="0"/>
          <c:showSerName val="0"/>
          <c:showPercent val="0"/>
          <c:showBubbleSize val="0"/>
        </c:dLbls>
        <c:smooth val="0"/>
        <c:axId val="1078692207"/>
        <c:axId val="1231206783"/>
      </c:lineChart>
      <c:catAx>
        <c:axId val="1078692207"/>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O"/>
            </a:p>
          </c:txPr>
        </c:title>
        <c:numFmt formatCode="General" sourceLinked="1"/>
        <c:majorTickMark val="none"/>
        <c:minorTickMark val="none"/>
        <c:tickLblPos val="nextTo"/>
        <c:crossAx val="1231206783"/>
        <c:crosses val="autoZero"/>
        <c:auto val="1"/>
        <c:lblAlgn val="ctr"/>
        <c:lblOffset val="100"/>
        <c:noMultiLvlLbl val="0"/>
      </c:catAx>
      <c:valAx>
        <c:axId val="123120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107869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Customer Age Brackets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O"/>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FA9-5E4E-BB4A-C1374CBF3F5F}"/>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FA9-5E4E-BB4A-C1374CBF3F5F}"/>
            </c:ext>
          </c:extLst>
        </c:ser>
        <c:dLbls>
          <c:showLegendKey val="0"/>
          <c:showVal val="0"/>
          <c:showCatName val="0"/>
          <c:showSerName val="0"/>
          <c:showPercent val="0"/>
          <c:showBubbleSize val="0"/>
        </c:dLbls>
        <c:marker val="1"/>
        <c:smooth val="0"/>
        <c:axId val="810491055"/>
        <c:axId val="897824015"/>
      </c:lineChart>
      <c:catAx>
        <c:axId val="810491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897824015"/>
        <c:crosses val="autoZero"/>
        <c:auto val="1"/>
        <c:lblAlgn val="ctr"/>
        <c:lblOffset val="100"/>
        <c:noMultiLvlLbl val="0"/>
      </c:catAx>
      <c:valAx>
        <c:axId val="89782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81049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580" baseline="0"/>
              <a:t>Avg Income Per Purchase</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O"/>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46981627296588"/>
          <c:y val="0.12245144935714346"/>
          <c:w val="0.72861627208585511"/>
          <c:h val="0.74465148581895846"/>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4B21-9843-BD4D-E3F4BD360B53}"/>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4B21-9843-BD4D-E3F4BD360B53}"/>
            </c:ext>
          </c:extLst>
        </c:ser>
        <c:dLbls>
          <c:dLblPos val="outEnd"/>
          <c:showLegendKey val="0"/>
          <c:showVal val="1"/>
          <c:showCatName val="0"/>
          <c:showSerName val="0"/>
          <c:showPercent val="0"/>
          <c:showBubbleSize val="0"/>
        </c:dLbls>
        <c:gapWidth val="219"/>
        <c:overlap val="-27"/>
        <c:axId val="660899055"/>
        <c:axId val="245632687"/>
      </c:barChart>
      <c:catAx>
        <c:axId val="660899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245632687"/>
        <c:crosses val="autoZero"/>
        <c:auto val="1"/>
        <c:lblAlgn val="ctr"/>
        <c:lblOffset val="100"/>
        <c:noMultiLvlLbl val="0"/>
      </c:catAx>
      <c:valAx>
        <c:axId val="2456326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O"/>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6608990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MO"/>
          </a:p>
        </c:txPr>
      </c:dTable>
      <c:spPr>
        <a:noFill/>
        <a:ln>
          <a:noFill/>
        </a:ln>
        <a:effectLst/>
      </c:spPr>
    </c:plotArea>
    <c:legend>
      <c:legendPos val="r"/>
      <c:layout>
        <c:manualLayout>
          <c:xMode val="edge"/>
          <c:yMode val="edge"/>
          <c:x val="0.87450442554169772"/>
          <c:y val="0.45280394670228463"/>
          <c:w val="0.11454666934881315"/>
          <c:h val="0.225718840548488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O"/>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851719713516089E-2"/>
          <c:y val="0.12572881355932203"/>
          <c:w val="0.876179231247601"/>
          <c:h val="0.74287381618738657"/>
        </c:manualLayout>
      </c:layout>
      <c:lineChart>
        <c:grouping val="standard"/>
        <c:varyColors val="0"/>
        <c:ser>
          <c:idx val="0"/>
          <c:order val="0"/>
          <c:tx>
            <c:strRef>
              <c:f>'Pivot Table'!$B$14:$B$15</c:f>
              <c:strCache>
                <c:ptCount val="1"/>
                <c:pt idx="0">
                  <c:v>No</c:v>
                </c:pt>
              </c:strCache>
            </c:strRef>
          </c:tx>
          <c:spPr>
            <a:ln w="28575" cap="rnd">
              <a:solidFill>
                <a:schemeClr val="accent1"/>
              </a:solidFill>
              <a:round/>
            </a:ln>
            <a:effectLst/>
          </c:spPr>
          <c:marker>
            <c:symbol val="none"/>
          </c:marker>
          <c:cat>
            <c:strRef>
              <c:f>'Pivot Table'!$A$16:$A$21</c:f>
              <c:strCache>
                <c:ptCount val="5"/>
                <c:pt idx="0">
                  <c:v>0-1 Miles</c:v>
                </c:pt>
                <c:pt idx="1">
                  <c:v>1-2 Miles</c:v>
                </c:pt>
                <c:pt idx="2">
                  <c:v>2-5 Miles</c:v>
                </c:pt>
                <c:pt idx="3">
                  <c:v>5-10 Miles</c:v>
                </c:pt>
                <c:pt idx="4">
                  <c:v>More than 10 Miles</c:v>
                </c:pt>
              </c:strCache>
            </c:strRef>
          </c:cat>
          <c:val>
            <c:numRef>
              <c:f>'Pivot Table'!$B$16:$B$21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A30-EB44-9FBE-5DDAA801E907}"/>
            </c:ext>
          </c:extLst>
        </c:ser>
        <c:ser>
          <c:idx val="1"/>
          <c:order val="1"/>
          <c:tx>
            <c:strRef>
              <c:f>'Pivot Table'!$C$14:$C$15</c:f>
              <c:strCache>
                <c:ptCount val="1"/>
                <c:pt idx="0">
                  <c:v>Yes</c:v>
                </c:pt>
              </c:strCache>
            </c:strRef>
          </c:tx>
          <c:spPr>
            <a:ln w="28575" cap="rnd">
              <a:solidFill>
                <a:schemeClr val="accent2"/>
              </a:solidFill>
              <a:round/>
            </a:ln>
            <a:effectLst/>
          </c:spPr>
          <c:marker>
            <c:symbol val="none"/>
          </c:marker>
          <c:cat>
            <c:strRef>
              <c:f>'Pivot Table'!$A$16:$A$21</c:f>
              <c:strCache>
                <c:ptCount val="5"/>
                <c:pt idx="0">
                  <c:v>0-1 Miles</c:v>
                </c:pt>
                <c:pt idx="1">
                  <c:v>1-2 Miles</c:v>
                </c:pt>
                <c:pt idx="2">
                  <c:v>2-5 Miles</c:v>
                </c:pt>
                <c:pt idx="3">
                  <c:v>5-10 Miles</c:v>
                </c:pt>
                <c:pt idx="4">
                  <c:v>More than 10 Miles</c:v>
                </c:pt>
              </c:strCache>
            </c:strRef>
          </c:cat>
          <c:val>
            <c:numRef>
              <c:f>'Pivot Table'!$C$16:$C$21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A30-EB44-9FBE-5DDAA801E907}"/>
            </c:ext>
          </c:extLst>
        </c:ser>
        <c:dLbls>
          <c:showLegendKey val="0"/>
          <c:showVal val="0"/>
          <c:showCatName val="0"/>
          <c:showSerName val="0"/>
          <c:showPercent val="0"/>
          <c:showBubbleSize val="0"/>
        </c:dLbls>
        <c:smooth val="0"/>
        <c:axId val="1078692207"/>
        <c:axId val="1231206783"/>
      </c:lineChart>
      <c:catAx>
        <c:axId val="1078692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O"/>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1231206783"/>
        <c:crosses val="autoZero"/>
        <c:auto val="1"/>
        <c:lblAlgn val="ctr"/>
        <c:lblOffset val="100"/>
        <c:noMultiLvlLbl val="0"/>
      </c:catAx>
      <c:valAx>
        <c:axId val="123120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107869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Customer Age Brackets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O"/>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3DA-3541-B19C-D5AF27EAB374}"/>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3DA-3541-B19C-D5AF27EAB374}"/>
            </c:ext>
          </c:extLst>
        </c:ser>
        <c:dLbls>
          <c:showLegendKey val="0"/>
          <c:showVal val="0"/>
          <c:showCatName val="0"/>
          <c:showSerName val="0"/>
          <c:showPercent val="0"/>
          <c:showBubbleSize val="0"/>
        </c:dLbls>
        <c:marker val="1"/>
        <c:smooth val="0"/>
        <c:axId val="810491055"/>
        <c:axId val="897824015"/>
      </c:lineChart>
      <c:catAx>
        <c:axId val="810491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897824015"/>
        <c:crosses val="autoZero"/>
        <c:auto val="1"/>
        <c:lblAlgn val="ctr"/>
        <c:lblOffset val="100"/>
        <c:noMultiLvlLbl val="0"/>
      </c:catAx>
      <c:valAx>
        <c:axId val="89782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81049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63500</xdr:colOff>
      <xdr:row>2</xdr:row>
      <xdr:rowOff>171450</xdr:rowOff>
    </xdr:from>
    <xdr:to>
      <xdr:col>14</xdr:col>
      <xdr:colOff>660400</xdr:colOff>
      <xdr:row>18</xdr:row>
      <xdr:rowOff>12700</xdr:rowOff>
    </xdr:to>
    <xdr:graphicFrame macro="">
      <xdr:nvGraphicFramePr>
        <xdr:cNvPr id="5" name="Chart 4">
          <a:extLst>
            <a:ext uri="{FF2B5EF4-FFF2-40B4-BE49-F238E27FC236}">
              <a16:creationId xmlns:a16="http://schemas.microsoft.com/office/drawing/2014/main" id="{9D1DDB97-F6B9-BAC6-1525-8CC9663E6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146050</xdr:colOff>
      <xdr:row>19</xdr:row>
      <xdr:rowOff>107950</xdr:rowOff>
    </xdr:from>
    <xdr:to>
      <xdr:col>14</xdr:col>
      <xdr:colOff>177800</xdr:colOff>
      <xdr:row>36</xdr:row>
      <xdr:rowOff>152400</xdr:rowOff>
    </xdr:to>
    <xdr:graphicFrame macro="">
      <xdr:nvGraphicFramePr>
        <xdr:cNvPr id="6" name="Chart 5">
          <a:extLst>
            <a:ext uri="{FF2B5EF4-FFF2-40B4-BE49-F238E27FC236}">
              <a16:creationId xmlns:a16="http://schemas.microsoft.com/office/drawing/2014/main" id="{19A8620B-E268-65B9-5279-352F06F750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234950</xdr:colOff>
      <xdr:row>43</xdr:row>
      <xdr:rowOff>82550</xdr:rowOff>
    </xdr:from>
    <xdr:to>
      <xdr:col>11</xdr:col>
      <xdr:colOff>330200</xdr:colOff>
      <xdr:row>58</xdr:row>
      <xdr:rowOff>165100</xdr:rowOff>
    </xdr:to>
    <xdr:graphicFrame macro="">
      <xdr:nvGraphicFramePr>
        <xdr:cNvPr id="7" name="Chart 6">
          <a:extLst>
            <a:ext uri="{FF2B5EF4-FFF2-40B4-BE49-F238E27FC236}">
              <a16:creationId xmlns:a16="http://schemas.microsoft.com/office/drawing/2014/main" id="{A02306EE-2155-D21E-07D9-C557FC08E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724286</xdr:colOff>
      <xdr:row>4</xdr:row>
      <xdr:rowOff>113787</xdr:rowOff>
    </xdr:from>
    <xdr:to>
      <xdr:col>8</xdr:col>
      <xdr:colOff>590102</xdr:colOff>
      <xdr:row>20</xdr:row>
      <xdr:rowOff>37330</xdr:rowOff>
    </xdr:to>
    <xdr:graphicFrame macro="">
      <xdr:nvGraphicFramePr>
        <xdr:cNvPr id="2" name="Chart 1">
          <a:extLst>
            <a:ext uri="{FF2B5EF4-FFF2-40B4-BE49-F238E27FC236}">
              <a16:creationId xmlns:a16="http://schemas.microsoft.com/office/drawing/2014/main" id="{EC132301-FEFD-3940-BB2A-DC4A2BA55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739678</xdr:colOff>
      <xdr:row>21</xdr:row>
      <xdr:rowOff>25014</xdr:rowOff>
    </xdr:from>
    <xdr:to>
      <xdr:col>15</xdr:col>
      <xdr:colOff>0</xdr:colOff>
      <xdr:row>42</xdr:row>
      <xdr:rowOff>38484</xdr:rowOff>
    </xdr:to>
    <xdr:graphicFrame macro="">
      <xdr:nvGraphicFramePr>
        <xdr:cNvPr id="3" name="Chart 2">
          <a:extLst>
            <a:ext uri="{FF2B5EF4-FFF2-40B4-BE49-F238E27FC236}">
              <a16:creationId xmlns:a16="http://schemas.microsoft.com/office/drawing/2014/main" id="{DA8340C4-D636-D147-8F1B-D38D34E49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725760</xdr:colOff>
      <xdr:row>4</xdr:row>
      <xdr:rowOff>113787</xdr:rowOff>
    </xdr:from>
    <xdr:to>
      <xdr:col>15</xdr:col>
      <xdr:colOff>0</xdr:colOff>
      <xdr:row>20</xdr:row>
      <xdr:rowOff>5837</xdr:rowOff>
    </xdr:to>
    <xdr:graphicFrame macro="">
      <xdr:nvGraphicFramePr>
        <xdr:cNvPr id="4" name="Chart 3">
          <a:extLst>
            <a:ext uri="{FF2B5EF4-FFF2-40B4-BE49-F238E27FC236}">
              <a16:creationId xmlns:a16="http://schemas.microsoft.com/office/drawing/2014/main" id="{DC031E6E-44B7-1641-85F2-9A8761010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145474</xdr:rowOff>
    </xdr:from>
    <xdr:to>
      <xdr:col>1</xdr:col>
      <xdr:colOff>692727</xdr:colOff>
      <xdr:row>9</xdr:row>
      <xdr:rowOff>64143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5D3CC57-BEE7-B30C-BE90-8126BA07075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31664"/>
              <a:ext cx="1524275" cy="90140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15119</xdr:colOff>
      <xdr:row>16</xdr:row>
      <xdr:rowOff>63628</xdr:rowOff>
    </xdr:from>
    <xdr:to>
      <xdr:col>1</xdr:col>
      <xdr:colOff>682190</xdr:colOff>
      <xdr:row>25</xdr:row>
      <xdr:rowOff>25657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F935114-CAB7-38B9-65E6-12336BC8CBA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5119" y="3208390"/>
              <a:ext cx="1498619" cy="17309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15119</xdr:colOff>
      <xdr:row>9</xdr:row>
      <xdr:rowOff>171916</xdr:rowOff>
    </xdr:from>
    <xdr:to>
      <xdr:col>1</xdr:col>
      <xdr:colOff>707846</xdr:colOff>
      <xdr:row>15</xdr:row>
      <xdr:rowOff>138821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F08B7E8-B9EE-91D2-2F84-DAD298F9415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119" y="1940845"/>
              <a:ext cx="1524275" cy="11461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王 译晨" refreshedDate="46012.040628472219" createdVersion="8" refreshedVersion="8" minRefreshableVersion="3" recordCount="1000" xr:uid="{77F6A232-286D-9A48-BE84-1953200917A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13248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F58A62-6566-7F4C-BFC9-013CDA122FFB}"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D46"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63AA3C-B2CF-7E48-B21D-62BD4E824BB6}" name="PivotTable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4:D21"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DD8B29-D952-0A4B-B224-EBC4EC548E0E}"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77"/>
  </dataFields>
  <formats count="1">
    <format dxfId="12">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8308736-7CC3-F145-B76B-EA1055A194FA}" sourceName="Marital Status">
  <pivotTables>
    <pivotTable tabId="3" name="PivotTable4"/>
    <pivotTable tabId="3" name="PivotTable5"/>
    <pivotTable tabId="3" name="PivotTable6"/>
  </pivotTables>
  <data>
    <tabular pivotCacheId="201324886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7F67720-9E2C-EB40-A597-A7499DB02E17}" sourceName="Education">
  <pivotTables>
    <pivotTable tabId="3" name="PivotTable4"/>
    <pivotTable tabId="3" name="PivotTable5"/>
    <pivotTable tabId="3" name="PivotTable6"/>
  </pivotTables>
  <data>
    <tabular pivotCacheId="201324886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FA4633-B07D-954F-BA44-51BE624CB241}" sourceName="Region">
  <pivotTables>
    <pivotTable tabId="3" name="PivotTable4"/>
    <pivotTable tabId="3" name="PivotTable5"/>
    <pivotTable tabId="3" name="PivotTable6"/>
  </pivotTables>
  <data>
    <tabular pivotCacheId="201324886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5EA3C16-0652-7545-9938-55B20995C4DC}" cache="Slicer_Marital_Status" caption="Marital Status" rowHeight="230716"/>
  <slicer name="Education" xr10:uid="{B9246BD0-C6B4-9D43-A2FF-D7DC6E2AF222}" cache="Slicer_Education" caption="Education" rowHeight="230716"/>
  <slicer name="Region" xr10:uid="{6E0C433F-90FF-D045-BFC2-F00D9F4700B6}" cache="Slicer_Region" caption="Region"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2"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38587-68CB-0A41-A0F1-3C005A50395A}">
  <dimension ref="A1:N1001"/>
  <sheetViews>
    <sheetView topLeftCell="G980" zoomScale="176" workbookViewId="0">
      <selection activeCell="J2" sqref="J1:J1048576"/>
    </sheetView>
  </sheetViews>
  <sheetFormatPr baseColWidth="10" defaultColWidth="11.83203125" defaultRowHeight="15" x14ac:dyDescent="0.2"/>
  <cols>
    <col min="4" max="4" width="11.83203125" style="3"/>
    <col min="14" max="14" width="15.5" customWidth="1"/>
  </cols>
  <sheetData>
    <row r="1" spans="1:14" x14ac:dyDescent="0.2">
      <c r="A1" t="s">
        <v>0</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
      <c r="A4">
        <v>14177</v>
      </c>
      <c r="B4" t="s">
        <v>36</v>
      </c>
      <c r="C4" t="s">
        <v>39</v>
      </c>
      <c r="D4" s="3">
        <v>80000</v>
      </c>
      <c r="E4">
        <v>5</v>
      </c>
      <c r="F4" t="s">
        <v>19</v>
      </c>
      <c r="G4" t="s">
        <v>21</v>
      </c>
      <c r="H4" t="s">
        <v>18</v>
      </c>
      <c r="I4">
        <v>2</v>
      </c>
      <c r="J4" t="s">
        <v>22</v>
      </c>
      <c r="K4" t="s">
        <v>17</v>
      </c>
      <c r="L4">
        <v>60</v>
      </c>
      <c r="M4" t="str">
        <f t="shared" si="0"/>
        <v>Old</v>
      </c>
      <c r="N4" t="s">
        <v>18</v>
      </c>
    </row>
    <row r="5" spans="1:14" x14ac:dyDescent="0.2">
      <c r="A5">
        <v>24381</v>
      </c>
      <c r="B5" t="s">
        <v>37</v>
      </c>
      <c r="C5" t="s">
        <v>39</v>
      </c>
      <c r="D5" s="3">
        <v>70000</v>
      </c>
      <c r="E5">
        <v>0</v>
      </c>
      <c r="F5" t="s">
        <v>13</v>
      </c>
      <c r="G5" t="s">
        <v>21</v>
      </c>
      <c r="H5" t="s">
        <v>15</v>
      </c>
      <c r="I5">
        <v>1</v>
      </c>
      <c r="J5" t="s">
        <v>23</v>
      </c>
      <c r="K5" t="s">
        <v>24</v>
      </c>
      <c r="L5">
        <v>41</v>
      </c>
      <c r="M5" t="str">
        <f t="shared" si="0"/>
        <v>Middle Age</v>
      </c>
      <c r="N5" t="s">
        <v>15</v>
      </c>
    </row>
    <row r="6" spans="1:14" x14ac:dyDescent="0.2">
      <c r="A6">
        <v>25597</v>
      </c>
      <c r="B6" t="s">
        <v>37</v>
      </c>
      <c r="C6" t="s">
        <v>39</v>
      </c>
      <c r="D6" s="3">
        <v>30000</v>
      </c>
      <c r="E6">
        <v>0</v>
      </c>
      <c r="F6" t="s">
        <v>13</v>
      </c>
      <c r="G6" t="s">
        <v>20</v>
      </c>
      <c r="H6" t="s">
        <v>18</v>
      </c>
      <c r="I6">
        <v>0</v>
      </c>
      <c r="J6" t="s">
        <v>16</v>
      </c>
      <c r="K6" t="s">
        <v>17</v>
      </c>
      <c r="L6">
        <v>36</v>
      </c>
      <c r="M6" t="str">
        <f t="shared" si="0"/>
        <v>Middle Age</v>
      </c>
      <c r="N6" t="s">
        <v>15</v>
      </c>
    </row>
    <row r="7" spans="1:14" x14ac:dyDescent="0.2">
      <c r="A7">
        <v>13507</v>
      </c>
      <c r="B7" t="s">
        <v>36</v>
      </c>
      <c r="C7" t="s">
        <v>38</v>
      </c>
      <c r="D7" s="3">
        <v>10000</v>
      </c>
      <c r="E7">
        <v>2</v>
      </c>
      <c r="F7" t="s">
        <v>19</v>
      </c>
      <c r="G7" t="s">
        <v>25</v>
      </c>
      <c r="H7" t="s">
        <v>15</v>
      </c>
      <c r="I7">
        <v>0</v>
      </c>
      <c r="J7" t="s">
        <v>26</v>
      </c>
      <c r="K7" t="s">
        <v>17</v>
      </c>
      <c r="L7">
        <v>50</v>
      </c>
      <c r="M7" t="str">
        <f t="shared" si="0"/>
        <v>Middle Age</v>
      </c>
      <c r="N7" t="s">
        <v>18</v>
      </c>
    </row>
    <row r="8" spans="1:14" x14ac:dyDescent="0.2">
      <c r="A8">
        <v>27974</v>
      </c>
      <c r="B8" t="s">
        <v>37</v>
      </c>
      <c r="C8" t="s">
        <v>39</v>
      </c>
      <c r="D8" s="3">
        <v>160000</v>
      </c>
      <c r="E8">
        <v>2</v>
      </c>
      <c r="F8" t="s">
        <v>27</v>
      </c>
      <c r="G8" t="s">
        <v>28</v>
      </c>
      <c r="H8" t="s">
        <v>15</v>
      </c>
      <c r="I8">
        <v>4</v>
      </c>
      <c r="J8" t="s">
        <v>16</v>
      </c>
      <c r="K8" t="s">
        <v>24</v>
      </c>
      <c r="L8">
        <v>33</v>
      </c>
      <c r="M8" t="str">
        <f t="shared" si="0"/>
        <v>Middle Age</v>
      </c>
      <c r="N8" t="s">
        <v>15</v>
      </c>
    </row>
    <row r="9" spans="1:14" x14ac:dyDescent="0.2">
      <c r="A9">
        <v>19364</v>
      </c>
      <c r="B9" t="s">
        <v>36</v>
      </c>
      <c r="C9" t="s">
        <v>39</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B7D38587-68CB-0A41-A0F1-3C005A50395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AAB5A-6F1D-4D46-80A7-37C742C4AEBD}">
  <dimension ref="A1:D46"/>
  <sheetViews>
    <sheetView topLeftCell="A25" workbookViewId="0">
      <selection activeCell="G26" sqref="G26"/>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s>
  <sheetData>
    <row r="1" spans="1:4" x14ac:dyDescent="0.2">
      <c r="A1" s="5" t="s">
        <v>43</v>
      </c>
      <c r="B1" s="5" t="s">
        <v>44</v>
      </c>
    </row>
    <row r="2" spans="1:4" x14ac:dyDescent="0.2">
      <c r="A2" s="5" t="s">
        <v>41</v>
      </c>
      <c r="B2" t="s">
        <v>18</v>
      </c>
      <c r="C2" t="s">
        <v>15</v>
      </c>
      <c r="D2" t="s">
        <v>42</v>
      </c>
    </row>
    <row r="3" spans="1:4" x14ac:dyDescent="0.2">
      <c r="A3" s="6" t="s">
        <v>38</v>
      </c>
      <c r="B3" s="7">
        <v>53440</v>
      </c>
      <c r="C3" s="7">
        <v>55774.058577405856</v>
      </c>
      <c r="D3" s="7">
        <v>54580.777096114522</v>
      </c>
    </row>
    <row r="4" spans="1:4" x14ac:dyDescent="0.2">
      <c r="A4" s="6" t="s">
        <v>39</v>
      </c>
      <c r="B4" s="7">
        <v>56208.178438661707</v>
      </c>
      <c r="C4" s="7">
        <v>60123.966942148763</v>
      </c>
      <c r="D4" s="7">
        <v>58062.62230919765</v>
      </c>
    </row>
    <row r="5" spans="1:4" x14ac:dyDescent="0.2">
      <c r="A5" s="6" t="s">
        <v>42</v>
      </c>
      <c r="B5" s="7">
        <v>54874.759152215796</v>
      </c>
      <c r="C5" s="7">
        <v>57962.577962577961</v>
      </c>
      <c r="D5" s="7">
        <v>56360</v>
      </c>
    </row>
    <row r="14" spans="1:4" x14ac:dyDescent="0.2">
      <c r="A14" s="5" t="s">
        <v>45</v>
      </c>
      <c r="B14" s="5" t="s">
        <v>44</v>
      </c>
    </row>
    <row r="15" spans="1:4" x14ac:dyDescent="0.2">
      <c r="A15" s="5" t="s">
        <v>41</v>
      </c>
      <c r="B15" t="s">
        <v>18</v>
      </c>
      <c r="C15" t="s">
        <v>15</v>
      </c>
      <c r="D15" t="s">
        <v>42</v>
      </c>
    </row>
    <row r="16" spans="1:4" x14ac:dyDescent="0.2">
      <c r="A16" s="6" t="s">
        <v>16</v>
      </c>
      <c r="B16" s="4">
        <v>166</v>
      </c>
      <c r="C16" s="4">
        <v>200</v>
      </c>
      <c r="D16" s="4">
        <v>366</v>
      </c>
    </row>
    <row r="17" spans="1:4" x14ac:dyDescent="0.2">
      <c r="A17" s="6" t="s">
        <v>26</v>
      </c>
      <c r="B17" s="4">
        <v>92</v>
      </c>
      <c r="C17" s="4">
        <v>77</v>
      </c>
      <c r="D17" s="4">
        <v>169</v>
      </c>
    </row>
    <row r="18" spans="1:4" x14ac:dyDescent="0.2">
      <c r="A18" s="6" t="s">
        <v>22</v>
      </c>
      <c r="B18" s="4">
        <v>67</v>
      </c>
      <c r="C18" s="4">
        <v>95</v>
      </c>
      <c r="D18" s="4">
        <v>162</v>
      </c>
    </row>
    <row r="19" spans="1:4" x14ac:dyDescent="0.2">
      <c r="A19" s="6" t="s">
        <v>23</v>
      </c>
      <c r="B19" s="4">
        <v>116</v>
      </c>
      <c r="C19" s="4">
        <v>76</v>
      </c>
      <c r="D19" s="4">
        <v>192</v>
      </c>
    </row>
    <row r="20" spans="1:4" x14ac:dyDescent="0.2">
      <c r="A20" s="6" t="s">
        <v>46</v>
      </c>
      <c r="B20" s="4">
        <v>78</v>
      </c>
      <c r="C20" s="4">
        <v>33</v>
      </c>
      <c r="D20" s="4">
        <v>111</v>
      </c>
    </row>
    <row r="21" spans="1:4" x14ac:dyDescent="0.2">
      <c r="A21" s="6" t="s">
        <v>42</v>
      </c>
      <c r="B21" s="4">
        <v>519</v>
      </c>
      <c r="C21" s="4">
        <v>481</v>
      </c>
      <c r="D21" s="4">
        <v>1000</v>
      </c>
    </row>
    <row r="41" spans="1:4" x14ac:dyDescent="0.2">
      <c r="A41" s="5" t="s">
        <v>45</v>
      </c>
      <c r="B41" s="5" t="s">
        <v>44</v>
      </c>
    </row>
    <row r="42" spans="1:4" x14ac:dyDescent="0.2">
      <c r="A42" s="5" t="s">
        <v>41</v>
      </c>
      <c r="B42" t="s">
        <v>18</v>
      </c>
      <c r="C42" t="s">
        <v>15</v>
      </c>
      <c r="D42" t="s">
        <v>42</v>
      </c>
    </row>
    <row r="43" spans="1:4" x14ac:dyDescent="0.2">
      <c r="A43" s="6" t="s">
        <v>47</v>
      </c>
      <c r="B43" s="4">
        <v>71</v>
      </c>
      <c r="C43" s="4">
        <v>39</v>
      </c>
      <c r="D43" s="4">
        <v>110</v>
      </c>
    </row>
    <row r="44" spans="1:4" x14ac:dyDescent="0.2">
      <c r="A44" s="6" t="s">
        <v>48</v>
      </c>
      <c r="B44" s="4">
        <v>318</v>
      </c>
      <c r="C44" s="4">
        <v>383</v>
      </c>
      <c r="D44" s="4">
        <v>701</v>
      </c>
    </row>
    <row r="45" spans="1:4" x14ac:dyDescent="0.2">
      <c r="A45" s="6" t="s">
        <v>49</v>
      </c>
      <c r="B45" s="4">
        <v>130</v>
      </c>
      <c r="C45" s="4">
        <v>59</v>
      </c>
      <c r="D45" s="4">
        <v>189</v>
      </c>
    </row>
    <row r="46" spans="1:4" x14ac:dyDescent="0.2">
      <c r="A46" s="6" t="s">
        <v>42</v>
      </c>
      <c r="B46" s="4">
        <v>519</v>
      </c>
      <c r="C46" s="4">
        <v>481</v>
      </c>
      <c r="D46"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2006B-5578-0F4F-BCFF-3040A9D44C24}">
  <dimension ref="A1:O4"/>
  <sheetViews>
    <sheetView showGridLines="0" tabSelected="1" topLeftCell="A2" zoomScale="84" workbookViewId="0">
      <selection activeCell="R17" sqref="R17"/>
    </sheetView>
  </sheetViews>
  <sheetFormatPr baseColWidth="10" defaultRowHeight="15" x14ac:dyDescent="0.2"/>
  <sheetData>
    <row r="1" spans="1:15" ht="15" customHeight="1" x14ac:dyDescent="0.2">
      <c r="A1" s="8" t="s">
        <v>50</v>
      </c>
      <c r="B1" s="8"/>
      <c r="C1" s="8"/>
      <c r="D1" s="8"/>
      <c r="E1" s="8"/>
      <c r="F1" s="8"/>
      <c r="G1" s="8"/>
      <c r="H1" s="8"/>
      <c r="I1" s="8"/>
      <c r="J1" s="8"/>
      <c r="K1" s="8"/>
      <c r="L1" s="8"/>
      <c r="M1" s="8"/>
      <c r="N1" s="8"/>
      <c r="O1" s="8"/>
    </row>
    <row r="2" spans="1:15" x14ac:dyDescent="0.2">
      <c r="A2" s="8"/>
      <c r="B2" s="8"/>
      <c r="C2" s="8"/>
      <c r="D2" s="8"/>
      <c r="E2" s="8"/>
      <c r="F2" s="8"/>
      <c r="G2" s="8"/>
      <c r="H2" s="8"/>
      <c r="I2" s="8"/>
      <c r="J2" s="8"/>
      <c r="K2" s="8"/>
      <c r="L2" s="8"/>
      <c r="M2" s="8"/>
      <c r="N2" s="8"/>
      <c r="O2" s="8"/>
    </row>
    <row r="3" spans="1:15" x14ac:dyDescent="0.2">
      <c r="A3" s="8"/>
      <c r="B3" s="8"/>
      <c r="C3" s="8"/>
      <c r="D3" s="8"/>
      <c r="E3" s="8"/>
      <c r="F3" s="8"/>
      <c r="G3" s="8"/>
      <c r="H3" s="8"/>
      <c r="I3" s="8"/>
      <c r="J3" s="8"/>
      <c r="K3" s="8"/>
      <c r="L3" s="8"/>
      <c r="M3" s="8"/>
      <c r="N3" s="8"/>
      <c r="O3" s="8"/>
    </row>
    <row r="4" spans="1:15" x14ac:dyDescent="0.2">
      <c r="A4" s="8"/>
      <c r="B4" s="8"/>
      <c r="C4" s="8"/>
      <c r="D4" s="8"/>
      <c r="E4" s="8"/>
      <c r="F4" s="8"/>
      <c r="G4" s="8"/>
      <c r="H4" s="8"/>
      <c r="I4" s="8"/>
      <c r="J4" s="8"/>
      <c r="K4" s="8"/>
      <c r="L4" s="8"/>
      <c r="M4" s="8"/>
      <c r="N4" s="8"/>
      <c r="O4" s="8"/>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 译晨</cp:lastModifiedBy>
  <dcterms:created xsi:type="dcterms:W3CDTF">2022-03-18T02:50:57Z</dcterms:created>
  <dcterms:modified xsi:type="dcterms:W3CDTF">2025-12-21T01:16:55Z</dcterms:modified>
</cp:coreProperties>
</file>